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RA\Desktop\"/>
    </mc:Choice>
  </mc:AlternateContent>
  <xr:revisionPtr revIDLastSave="0" documentId="13_ncr:1_{B12F44D5-99F9-425F-9C1F-C6B5643D15A4}" xr6:coauthVersionLast="47" xr6:coauthVersionMax="47" xr10:uidLastSave="{00000000-0000-0000-0000-000000000000}"/>
  <bookViews>
    <workbookView xWindow="-108" yWindow="-108" windowWidth="23256" windowHeight="13896" xr2:uid="{E7F6966C-F19A-4951-BE7C-4763F51AC36A}"/>
  </bookViews>
  <sheets>
    <sheet name="Feuil1" sheetId="7" r:id="rId1"/>
    <sheet name="Reporting" sheetId="5" state="hidden" r:id="rId2"/>
  </sheets>
  <definedNames>
    <definedName name="_xlnm._FilterDatabase" localSheetId="0" hidden="1">Feuil1!$A$1:$F$106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/>
  <c r="C5" i="5"/>
  <c r="C4" i="5"/>
  <c r="C3" i="5"/>
</calcChain>
</file>

<file path=xl/sharedStrings.xml><?xml version="1.0" encoding="utf-8"?>
<sst xmlns="http://schemas.openxmlformats.org/spreadsheetml/2006/main" count="339" uniqueCount="85">
  <si>
    <t>Site d'affectation</t>
  </si>
  <si>
    <t>Poste</t>
  </si>
  <si>
    <t>Nom</t>
  </si>
  <si>
    <t>Prénom</t>
  </si>
  <si>
    <t>Date d'intégration</t>
  </si>
  <si>
    <t>Etat d'avancement</t>
  </si>
  <si>
    <t>Conseiller commercial</t>
  </si>
  <si>
    <t>Clôturé</t>
  </si>
  <si>
    <t>Conseiller Commercial</t>
  </si>
  <si>
    <t>En préavis</t>
  </si>
  <si>
    <t>En cours de recrutement</t>
  </si>
  <si>
    <t>FLOTTES - BDG</t>
  </si>
  <si>
    <t>Manager Grands Comptes</t>
  </si>
  <si>
    <t>Hicham</t>
  </si>
  <si>
    <t>Metteur en main</t>
  </si>
  <si>
    <t>Chef de ventes</t>
  </si>
  <si>
    <t>Désistement</t>
  </si>
  <si>
    <t>Responsable de site</t>
  </si>
  <si>
    <t>Caissier</t>
  </si>
  <si>
    <t>Chargé de showroom</t>
  </si>
  <si>
    <t>ADV</t>
  </si>
  <si>
    <t>GAC</t>
  </si>
  <si>
    <t>Directeur de marque</t>
  </si>
  <si>
    <t>Chef de piste</t>
  </si>
  <si>
    <t>Electricien Co-Tech</t>
  </si>
  <si>
    <t>Magasinier</t>
  </si>
  <si>
    <t>Magasin M Trade</t>
  </si>
  <si>
    <t>Convoyeur</t>
  </si>
  <si>
    <t>Contrôleur de gestion</t>
  </si>
  <si>
    <t xml:space="preserve">SALIHEDDINE </t>
  </si>
  <si>
    <t xml:space="preserve">Mehdi </t>
  </si>
  <si>
    <t>Tax Manager</t>
  </si>
  <si>
    <t>Marketing</t>
  </si>
  <si>
    <t>Chargé marketing opérationnel</t>
  </si>
  <si>
    <t>Responsable marketing opérationnel</t>
  </si>
  <si>
    <t>Produits</t>
  </si>
  <si>
    <t>Chef de produits</t>
  </si>
  <si>
    <t>YASSINE</t>
  </si>
  <si>
    <t>Anass</t>
  </si>
  <si>
    <t>Compensation &amp; Benefits Manager</t>
  </si>
  <si>
    <t>Contrôleur interne</t>
  </si>
  <si>
    <t>Responsable juridique</t>
  </si>
  <si>
    <t xml:space="preserve">Juriste </t>
  </si>
  <si>
    <t>M Occaz</t>
  </si>
  <si>
    <t>R/D - Sidi Othame</t>
  </si>
  <si>
    <t>R/D - Errahma</t>
  </si>
  <si>
    <t>R/D - BDG</t>
  </si>
  <si>
    <t>Exeed Massira</t>
  </si>
  <si>
    <t>Exeed Rabat</t>
  </si>
  <si>
    <t>Soueast El Jadida</t>
  </si>
  <si>
    <t>GAC Driss Slaoui</t>
  </si>
  <si>
    <t>GAC BDG</t>
  </si>
  <si>
    <t>Responsable budget</t>
  </si>
  <si>
    <t>JAC Had Soualem</t>
  </si>
  <si>
    <t>EL HAJAMI</t>
  </si>
  <si>
    <t>Agent administratif</t>
  </si>
  <si>
    <t>Responsable achats</t>
  </si>
  <si>
    <t>Responsable import</t>
  </si>
  <si>
    <t>CRM Manager</t>
  </si>
  <si>
    <t>CRM Specialist</t>
  </si>
  <si>
    <t>Finance</t>
  </si>
  <si>
    <t>RH</t>
  </si>
  <si>
    <t>Contrôle interne</t>
  </si>
  <si>
    <t>Juridique</t>
  </si>
  <si>
    <t>Chef de centre</t>
  </si>
  <si>
    <t>M servcie Targa</t>
  </si>
  <si>
    <t>Soueast Agadir</t>
  </si>
  <si>
    <t>Soueast Tanger</t>
  </si>
  <si>
    <t>Soueast / GAC Tanger</t>
  </si>
  <si>
    <t>GAC Tanger</t>
  </si>
  <si>
    <t>Exeed Tanger</t>
  </si>
  <si>
    <t>KGM Tanger</t>
  </si>
  <si>
    <t>JAC Tanger</t>
  </si>
  <si>
    <t>Mécanicien</t>
  </si>
  <si>
    <t>KGM / JAC Tanger</t>
  </si>
  <si>
    <t>Comptable</t>
  </si>
  <si>
    <t>Chef de projets communication interne et bien être</t>
  </si>
  <si>
    <t>BILALI</t>
  </si>
  <si>
    <t>JAC Rabat</t>
  </si>
  <si>
    <t>Coordinatrice RCL</t>
  </si>
  <si>
    <t>Profil validé date à définir</t>
  </si>
  <si>
    <t>Experience clients</t>
  </si>
  <si>
    <t>KHARBOUCH</t>
  </si>
  <si>
    <t>Amal</t>
  </si>
  <si>
    <t>Chargé d'experience client et qualité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</si>
</sst>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8CBAD"/>
      </patternFill>
    </fill>
    <fill>
      <patternFill patternType="solid">
        <fgColor theme="5" tint="0.59999389629810485"/>
        <bgColor rgb="FFFFE699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0" xfId="0" applyFill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8" borderId="2" xfId="0" applyFill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8" borderId="9" xfId="0" applyFill="1" applyBorder="1"/>
    <xf numFmtId="0" fontId="0" fillId="8" borderId="10" xfId="0" applyFill="1" applyBorder="1"/>
    <xf numFmtId="0" fontId="5" fillId="0" borderId="11" xfId="0" applyFont="1" applyBorder="1" applyAlignment="1">
      <alignment horizontal="center"/>
    </xf>
    <xf numFmtId="0" fontId="0" fillId="8" borderId="12" xfId="0" applyFill="1" applyBorder="1"/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8" borderId="3" xfId="0" applyFill="1" applyBorder="1"/>
    <xf numFmtId="0" fontId="0" fillId="8" borderId="19" xfId="0" applyFill="1" applyBorder="1"/>
    <xf numFmtId="0" fontId="1" fillId="2" borderId="20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4" fontId="2" fillId="3" borderId="17" xfId="0" applyNumberFormat="1" applyFont="1" applyFill="1" applyBorder="1" applyAlignment="1">
      <alignment horizontal="center" vertical="center"/>
    </xf>
    <xf numFmtId="14" fontId="2" fillId="3" borderId="12" xfId="0" applyNumberFormat="1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14" fontId="2" fillId="3" borderId="10" xfId="0" applyNumberFormat="1" applyFont="1" applyFill="1" applyBorder="1" applyAlignment="1">
      <alignment horizontal="center" vertical="center"/>
    </xf>
    <xf numFmtId="14" fontId="2" fillId="3" borderId="19" xfId="0" applyNumberFormat="1" applyFont="1" applyFill="1" applyBorder="1" applyAlignment="1">
      <alignment horizontal="center" vertical="center"/>
    </xf>
    <xf numFmtId="14" fontId="2" fillId="3" borderId="15" xfId="0" applyNumberFormat="1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8" xfId="0" applyFill="1" applyBorder="1"/>
    <xf numFmtId="0" fontId="0" fillId="8" borderId="11" xfId="0" applyFill="1" applyBorder="1"/>
    <xf numFmtId="0" fontId="0" fillId="8" borderId="18" xfId="0" applyFill="1" applyBorder="1"/>
    <xf numFmtId="20" fontId="5" fillId="0" borderId="18" xfId="0" applyNumberFormat="1" applyFont="1" applyBorder="1" applyAlignment="1">
      <alignment horizontal="center"/>
    </xf>
    <xf numFmtId="0" fontId="0" fillId="8" borderId="29" xfId="0" applyFill="1" applyBorder="1"/>
    <xf numFmtId="0" fontId="0" fillId="8" borderId="30" xfId="0" applyFill="1" applyBorder="1"/>
    <xf numFmtId="0" fontId="0" fillId="8" borderId="31" xfId="0" applyFill="1" applyBorder="1"/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14" fontId="2" fillId="3" borderId="3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spc="0" baseline="0">
                <a:solidFill>
                  <a:srgbClr val="000000"/>
                </a:solidFill>
                <a:latin typeface="Calibri"/>
              </a:defRPr>
            </a:pPr>
            <a:r>
              <a:rPr lang="fr-FR" sz="14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Avancement des recrutements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Reporting!$B$3:$B$6</c:f>
              <c:strCache>
                <c:ptCount val="4"/>
                <c:pt idx="0">
                  <c:v>Clôturé</c:v>
                </c:pt>
                <c:pt idx="1">
                  <c:v>En préavis</c:v>
                </c:pt>
                <c:pt idx="2">
                  <c:v>En cours de recrutement</c:v>
                </c:pt>
                <c:pt idx="3">
                  <c:v>Désistement</c:v>
                </c:pt>
              </c:strCache>
            </c:strRef>
          </c:cat>
          <c:val>
            <c:numRef>
              <c:f>Reporting!$C$3:$C$6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0-43FA-810D-120935286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175152"/>
        <c:axId val="904179952"/>
      </c:barChart>
      <c:valAx>
        <c:axId val="90417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4175152"/>
        <c:crosses val="autoZero"/>
        <c:crossBetween val="between"/>
      </c:valAx>
      <c:catAx>
        <c:axId val="90417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90417995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fr-FR" sz="1000" b="0" i="0" u="none" strike="noStrike" kern="1200" baseline="0">
          <a:solidFill>
            <a:srgbClr val="000000"/>
          </a:solidFill>
          <a:latin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657225</xdr:colOff>
      <xdr:row>2</xdr:row>
      <xdr:rowOff>0</xdr:rowOff>
    </xdr:from>
    <xdr:ext cx="4572000" cy="2743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21D03A-F476-3DA7-B774-5CC618BA8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2170-2BC6-4004-8E87-192D4A379E0A}">
  <dimension ref="A1:F109"/>
  <sheetViews>
    <sheetView tabSelected="1" workbookViewId="0">
      <selection activeCell="D6" sqref="D6"/>
    </sheetView>
  </sheetViews>
  <sheetFormatPr baseColWidth="10" defaultRowHeight="14.4" x14ac:dyDescent="0.3"/>
  <cols>
    <col min="1" max="1" width="21.109375" style="7" bestFit="1" customWidth="1"/>
    <col min="2" max="2" width="35.44140625" style="7" bestFit="1" customWidth="1"/>
    <col min="3" max="3" width="22.33203125" style="7" bestFit="1" customWidth="1"/>
    <col min="4" max="4" width="14.5546875" style="7" bestFit="1" customWidth="1"/>
    <col min="5" max="5" width="11.44140625" style="7" bestFit="1" customWidth="1"/>
    <col min="6" max="6" width="17.33203125" style="7" bestFit="1" customWidth="1"/>
    <col min="7" max="16384" width="11.5546875" style="7"/>
  </cols>
  <sheetData>
    <row r="1" spans="1:6" x14ac:dyDescent="0.3">
      <c r="A1" s="10" t="s">
        <v>0</v>
      </c>
      <c r="B1" s="10" t="s">
        <v>1</v>
      </c>
      <c r="C1" s="38" t="s">
        <v>5</v>
      </c>
      <c r="D1" s="55" t="s">
        <v>2</v>
      </c>
      <c r="E1" s="56" t="s">
        <v>3</v>
      </c>
      <c r="F1" s="57" t="s">
        <v>4</v>
      </c>
    </row>
    <row r="2" spans="1:6" x14ac:dyDescent="0.3">
      <c r="A2" s="20" t="s">
        <v>60</v>
      </c>
      <c r="B2" s="11" t="s">
        <v>28</v>
      </c>
      <c r="C2" s="39" t="s">
        <v>10</v>
      </c>
      <c r="D2" s="20"/>
      <c r="E2" s="11"/>
      <c r="F2" s="58"/>
    </row>
    <row r="3" spans="1:6" x14ac:dyDescent="0.3">
      <c r="A3" s="16" t="s">
        <v>60</v>
      </c>
      <c r="B3" s="8" t="s">
        <v>57</v>
      </c>
      <c r="C3" s="40" t="s">
        <v>10</v>
      </c>
      <c r="D3" s="16"/>
      <c r="E3" s="8"/>
      <c r="F3" s="59"/>
    </row>
    <row r="4" spans="1:6" x14ac:dyDescent="0.3">
      <c r="A4" s="16" t="s">
        <v>60</v>
      </c>
      <c r="B4" s="8" t="s">
        <v>75</v>
      </c>
      <c r="C4" s="40" t="s">
        <v>10</v>
      </c>
      <c r="D4" s="16"/>
      <c r="E4" s="8"/>
      <c r="F4" s="59"/>
    </row>
    <row r="5" spans="1:6" x14ac:dyDescent="0.3">
      <c r="A5" s="16" t="s">
        <v>60</v>
      </c>
      <c r="B5" s="8" t="s">
        <v>56</v>
      </c>
      <c r="C5" s="40" t="s">
        <v>10</v>
      </c>
      <c r="D5" s="16"/>
      <c r="E5" s="8"/>
      <c r="F5" s="59"/>
    </row>
    <row r="6" spans="1:6" x14ac:dyDescent="0.3">
      <c r="A6" s="16" t="s">
        <v>60</v>
      </c>
      <c r="B6" s="8" t="s">
        <v>55</v>
      </c>
      <c r="C6" s="40" t="s">
        <v>10</v>
      </c>
      <c r="D6" s="16"/>
      <c r="E6" s="8"/>
      <c r="F6" s="59"/>
    </row>
    <row r="7" spans="1:6" x14ac:dyDescent="0.3">
      <c r="A7" s="16" t="s">
        <v>60</v>
      </c>
      <c r="B7" s="8" t="s">
        <v>52</v>
      </c>
      <c r="C7" s="40" t="s">
        <v>10</v>
      </c>
      <c r="D7" s="16"/>
      <c r="E7" s="8"/>
      <c r="F7" s="59"/>
    </row>
    <row r="8" spans="1:6" ht="15" thickBot="1" x14ac:dyDescent="0.35">
      <c r="A8" s="16" t="s">
        <v>60</v>
      </c>
      <c r="B8" s="8" t="s">
        <v>31</v>
      </c>
      <c r="C8" s="41" t="s">
        <v>9</v>
      </c>
      <c r="D8" s="16" t="s">
        <v>29</v>
      </c>
      <c r="E8" s="8" t="s">
        <v>30</v>
      </c>
      <c r="F8" s="59">
        <v>46204</v>
      </c>
    </row>
    <row r="9" spans="1:6" x14ac:dyDescent="0.3">
      <c r="A9" s="12" t="s">
        <v>32</v>
      </c>
      <c r="B9" s="13" t="s">
        <v>34</v>
      </c>
      <c r="C9" s="42" t="s">
        <v>10</v>
      </c>
      <c r="D9" s="12" t="s">
        <v>54</v>
      </c>
      <c r="E9" s="13" t="s">
        <v>30</v>
      </c>
      <c r="F9" s="60">
        <v>46188</v>
      </c>
    </row>
    <row r="10" spans="1:6" x14ac:dyDescent="0.3">
      <c r="A10" s="16" t="s">
        <v>32</v>
      </c>
      <c r="B10" s="8" t="s">
        <v>33</v>
      </c>
      <c r="C10" s="40" t="s">
        <v>10</v>
      </c>
      <c r="D10" s="16"/>
      <c r="E10" s="8"/>
      <c r="F10" s="59"/>
    </row>
    <row r="11" spans="1:6" x14ac:dyDescent="0.3">
      <c r="A11" s="16" t="s">
        <v>32</v>
      </c>
      <c r="B11" s="8" t="s">
        <v>58</v>
      </c>
      <c r="C11" s="40" t="s">
        <v>10</v>
      </c>
      <c r="D11" s="16"/>
      <c r="E11" s="8"/>
      <c r="F11" s="59"/>
    </row>
    <row r="12" spans="1:6" ht="15" thickBot="1" x14ac:dyDescent="0.35">
      <c r="A12" s="14" t="s">
        <v>32</v>
      </c>
      <c r="B12" s="15" t="s">
        <v>59</v>
      </c>
      <c r="C12" s="43" t="s">
        <v>10</v>
      </c>
      <c r="D12" s="14"/>
      <c r="E12" s="15"/>
      <c r="F12" s="61"/>
    </row>
    <row r="13" spans="1:6" x14ac:dyDescent="0.3">
      <c r="A13" s="12" t="s">
        <v>81</v>
      </c>
      <c r="B13" s="13" t="s">
        <v>84</v>
      </c>
      <c r="C13" s="45" t="s">
        <v>9</v>
      </c>
      <c r="D13" s="12" t="s">
        <v>82</v>
      </c>
      <c r="E13" s="13" t="s">
        <v>83</v>
      </c>
      <c r="F13" s="60">
        <v>46188</v>
      </c>
    </row>
    <row r="14" spans="1:6" ht="15" thickBot="1" x14ac:dyDescent="0.35">
      <c r="A14" s="85" t="s">
        <v>81</v>
      </c>
      <c r="B14" s="86" t="s">
        <v>84</v>
      </c>
      <c r="C14" s="87" t="s">
        <v>10</v>
      </c>
      <c r="D14" s="85"/>
      <c r="E14" s="86"/>
      <c r="F14" s="88"/>
    </row>
    <row r="15" spans="1:6" ht="15" thickBot="1" x14ac:dyDescent="0.35">
      <c r="A15" s="17" t="s">
        <v>35</v>
      </c>
      <c r="B15" s="18" t="s">
        <v>36</v>
      </c>
      <c r="C15" s="44" t="s">
        <v>10</v>
      </c>
      <c r="D15" s="17"/>
      <c r="E15" s="18"/>
      <c r="F15" s="63"/>
    </row>
    <row r="16" spans="1:6" x14ac:dyDescent="0.3">
      <c r="A16" s="12" t="s">
        <v>61</v>
      </c>
      <c r="B16" s="13" t="s">
        <v>39</v>
      </c>
      <c r="C16" s="45" t="s">
        <v>9</v>
      </c>
      <c r="D16" s="12" t="s">
        <v>37</v>
      </c>
      <c r="E16" s="13" t="s">
        <v>38</v>
      </c>
      <c r="F16" s="60">
        <v>46204</v>
      </c>
    </row>
    <row r="17" spans="1:6" ht="15" thickBot="1" x14ac:dyDescent="0.35">
      <c r="A17" s="14" t="s">
        <v>61</v>
      </c>
      <c r="B17" s="15" t="s">
        <v>76</v>
      </c>
      <c r="C17" s="41" t="s">
        <v>9</v>
      </c>
      <c r="D17" s="14" t="s">
        <v>77</v>
      </c>
      <c r="E17" s="15" t="s">
        <v>13</v>
      </c>
      <c r="F17" s="61">
        <v>46209</v>
      </c>
    </row>
    <row r="18" spans="1:6" ht="15" thickBot="1" x14ac:dyDescent="0.35">
      <c r="A18" s="17" t="s">
        <v>62</v>
      </c>
      <c r="B18" s="18" t="s">
        <v>40</v>
      </c>
      <c r="C18" s="46" t="s">
        <v>10</v>
      </c>
      <c r="D18" s="17"/>
      <c r="E18" s="18"/>
      <c r="F18" s="63"/>
    </row>
    <row r="19" spans="1:6" x14ac:dyDescent="0.3">
      <c r="A19" s="12" t="s">
        <v>63</v>
      </c>
      <c r="B19" s="13" t="s">
        <v>41</v>
      </c>
      <c r="C19" s="42" t="s">
        <v>10</v>
      </c>
      <c r="D19" s="12"/>
      <c r="E19" s="13"/>
      <c r="F19" s="60"/>
    </row>
    <row r="20" spans="1:6" ht="15" thickBot="1" x14ac:dyDescent="0.35">
      <c r="A20" s="14" t="s">
        <v>63</v>
      </c>
      <c r="B20" s="15" t="s">
        <v>42</v>
      </c>
      <c r="C20" s="43" t="s">
        <v>10</v>
      </c>
      <c r="D20" s="14"/>
      <c r="E20" s="15"/>
      <c r="F20" s="61"/>
    </row>
    <row r="21" spans="1:6" x14ac:dyDescent="0.3">
      <c r="A21" s="89" t="s">
        <v>44</v>
      </c>
      <c r="B21" s="13" t="s">
        <v>6</v>
      </c>
      <c r="C21" s="42" t="s">
        <v>10</v>
      </c>
      <c r="D21" s="12"/>
      <c r="E21" s="13"/>
      <c r="F21" s="60"/>
    </row>
    <row r="22" spans="1:6" ht="15" thickBot="1" x14ac:dyDescent="0.35">
      <c r="A22" s="90"/>
      <c r="B22" s="15" t="s">
        <v>6</v>
      </c>
      <c r="C22" s="43" t="s">
        <v>10</v>
      </c>
      <c r="D22" s="14"/>
      <c r="E22" s="15"/>
      <c r="F22" s="61"/>
    </row>
    <row r="23" spans="1:6" x14ac:dyDescent="0.3">
      <c r="A23" s="89" t="s">
        <v>45</v>
      </c>
      <c r="B23" s="13" t="s">
        <v>6</v>
      </c>
      <c r="C23" s="47" t="s">
        <v>10</v>
      </c>
      <c r="D23" s="12"/>
      <c r="E23" s="13"/>
      <c r="F23" s="60"/>
    </row>
    <row r="24" spans="1:6" ht="15" thickBot="1" x14ac:dyDescent="0.35">
      <c r="A24" s="90"/>
      <c r="B24" s="15" t="s">
        <v>6</v>
      </c>
      <c r="C24" s="48" t="s">
        <v>10</v>
      </c>
      <c r="D24" s="14"/>
      <c r="E24" s="15"/>
      <c r="F24" s="61"/>
    </row>
    <row r="25" spans="1:6" x14ac:dyDescent="0.3">
      <c r="A25" s="89" t="s">
        <v>11</v>
      </c>
      <c r="B25" s="13" t="s">
        <v>12</v>
      </c>
      <c r="C25" s="47" t="s">
        <v>10</v>
      </c>
      <c r="D25" s="12"/>
      <c r="E25" s="13"/>
      <c r="F25" s="60"/>
    </row>
    <row r="26" spans="1:6" x14ac:dyDescent="0.3">
      <c r="A26" s="91"/>
      <c r="B26" s="8" t="s">
        <v>12</v>
      </c>
      <c r="C26" s="40" t="s">
        <v>10</v>
      </c>
      <c r="D26" s="16"/>
      <c r="E26" s="8"/>
      <c r="F26" s="59"/>
    </row>
    <row r="27" spans="1:6" ht="15" thickBot="1" x14ac:dyDescent="0.35">
      <c r="A27" s="90"/>
      <c r="B27" s="15" t="s">
        <v>12</v>
      </c>
      <c r="C27" s="43" t="s">
        <v>10</v>
      </c>
      <c r="D27" s="14"/>
      <c r="E27" s="15"/>
      <c r="F27" s="61"/>
    </row>
    <row r="28" spans="1:6" x14ac:dyDescent="0.3">
      <c r="A28" s="89" t="s">
        <v>46</v>
      </c>
      <c r="B28" s="13" t="s">
        <v>6</v>
      </c>
      <c r="C28" s="42" t="s">
        <v>10</v>
      </c>
      <c r="D28" s="12"/>
      <c r="E28" s="13"/>
      <c r="F28" s="60"/>
    </row>
    <row r="29" spans="1:6" ht="15" thickBot="1" x14ac:dyDescent="0.35">
      <c r="A29" s="90"/>
      <c r="B29" s="15" t="s">
        <v>6</v>
      </c>
      <c r="C29" s="43" t="s">
        <v>10</v>
      </c>
      <c r="D29" s="14"/>
      <c r="E29" s="15"/>
      <c r="F29" s="61"/>
    </row>
    <row r="30" spans="1:6" ht="15" thickBot="1" x14ac:dyDescent="0.35">
      <c r="A30" s="17" t="s">
        <v>47</v>
      </c>
      <c r="B30" s="18" t="s">
        <v>6</v>
      </c>
      <c r="C30" s="46" t="s">
        <v>10</v>
      </c>
      <c r="D30" s="17"/>
      <c r="E30" s="18"/>
      <c r="F30" s="63"/>
    </row>
    <row r="31" spans="1:6" ht="15" thickBot="1" x14ac:dyDescent="0.35">
      <c r="A31" s="17" t="s">
        <v>48</v>
      </c>
      <c r="B31" s="18" t="s">
        <v>6</v>
      </c>
      <c r="C31" s="46" t="s">
        <v>10</v>
      </c>
      <c r="D31" s="17"/>
      <c r="E31" s="18"/>
      <c r="F31" s="63"/>
    </row>
    <row r="32" spans="1:6" x14ac:dyDescent="0.3">
      <c r="A32" s="16" t="s">
        <v>49</v>
      </c>
      <c r="B32" s="19" t="s">
        <v>17</v>
      </c>
      <c r="C32" s="83" t="s">
        <v>80</v>
      </c>
      <c r="D32" s="21"/>
      <c r="E32" s="8"/>
      <c r="F32" s="59"/>
    </row>
    <row r="33" spans="1:6" x14ac:dyDescent="0.3">
      <c r="A33" s="81" t="s">
        <v>49</v>
      </c>
      <c r="B33" s="8" t="s">
        <v>6</v>
      </c>
      <c r="C33" s="9" t="s">
        <v>80</v>
      </c>
      <c r="D33" s="8"/>
      <c r="E33" s="82"/>
      <c r="F33" s="59"/>
    </row>
    <row r="34" spans="1:6" x14ac:dyDescent="0.3">
      <c r="A34" s="81" t="s">
        <v>49</v>
      </c>
      <c r="B34" s="8" t="s">
        <v>18</v>
      </c>
      <c r="C34" s="9" t="s">
        <v>80</v>
      </c>
      <c r="D34" s="8"/>
      <c r="E34" s="82"/>
      <c r="F34" s="59"/>
    </row>
    <row r="35" spans="1:6" x14ac:dyDescent="0.3">
      <c r="A35" s="81" t="s">
        <v>49</v>
      </c>
      <c r="B35" s="8" t="s">
        <v>19</v>
      </c>
      <c r="C35" s="9" t="s">
        <v>80</v>
      </c>
      <c r="D35" s="8"/>
      <c r="E35" s="82"/>
      <c r="F35" s="59"/>
    </row>
    <row r="36" spans="1:6" x14ac:dyDescent="0.3">
      <c r="A36" s="81" t="s">
        <v>49</v>
      </c>
      <c r="B36" s="8" t="s">
        <v>6</v>
      </c>
      <c r="C36" s="9" t="s">
        <v>10</v>
      </c>
      <c r="D36" s="8"/>
      <c r="E36" s="82"/>
      <c r="F36" s="59"/>
    </row>
    <row r="37" spans="1:6" x14ac:dyDescent="0.3">
      <c r="A37" s="81" t="s">
        <v>49</v>
      </c>
      <c r="B37" s="8" t="s">
        <v>6</v>
      </c>
      <c r="C37" s="84" t="s">
        <v>10</v>
      </c>
      <c r="D37" s="8"/>
      <c r="E37" s="82"/>
      <c r="F37" s="59"/>
    </row>
    <row r="38" spans="1:6" x14ac:dyDescent="0.3">
      <c r="A38" s="16" t="s">
        <v>49</v>
      </c>
      <c r="B38" s="11" t="s">
        <v>14</v>
      </c>
      <c r="C38" s="39" t="s">
        <v>10</v>
      </c>
      <c r="D38" s="20"/>
      <c r="E38" s="8"/>
      <c r="F38" s="59"/>
    </row>
    <row r="39" spans="1:6" ht="15" thickBot="1" x14ac:dyDescent="0.35">
      <c r="A39" s="14" t="s">
        <v>49</v>
      </c>
      <c r="B39" s="15" t="s">
        <v>20</v>
      </c>
      <c r="C39" s="43" t="s">
        <v>10</v>
      </c>
      <c r="D39" s="14"/>
      <c r="E39" s="15"/>
      <c r="F39" s="61"/>
    </row>
    <row r="40" spans="1:6" x14ac:dyDescent="0.3">
      <c r="A40" s="12" t="s">
        <v>21</v>
      </c>
      <c r="B40" s="13" t="s">
        <v>22</v>
      </c>
      <c r="C40" s="42" t="s">
        <v>10</v>
      </c>
      <c r="D40" s="12"/>
      <c r="E40" s="13"/>
      <c r="F40" s="60"/>
    </row>
    <row r="41" spans="1:6" x14ac:dyDescent="0.3">
      <c r="A41" s="16" t="s">
        <v>50</v>
      </c>
      <c r="B41" s="8" t="s">
        <v>15</v>
      </c>
      <c r="C41" s="49" t="s">
        <v>10</v>
      </c>
      <c r="D41" s="16"/>
      <c r="E41" s="8"/>
      <c r="F41" s="59"/>
    </row>
    <row r="42" spans="1:6" x14ac:dyDescent="0.3">
      <c r="A42" s="16" t="s">
        <v>50</v>
      </c>
      <c r="B42" s="8" t="s">
        <v>8</v>
      </c>
      <c r="C42" s="49" t="s">
        <v>10</v>
      </c>
      <c r="D42" s="16"/>
      <c r="E42" s="8"/>
      <c r="F42" s="59"/>
    </row>
    <row r="43" spans="1:6" x14ac:dyDescent="0.3">
      <c r="A43" s="16" t="s">
        <v>50</v>
      </c>
      <c r="B43" s="8" t="s">
        <v>8</v>
      </c>
      <c r="C43" s="40" t="s">
        <v>10</v>
      </c>
      <c r="D43" s="16"/>
      <c r="E43" s="8"/>
      <c r="F43" s="59"/>
    </row>
    <row r="44" spans="1:6" x14ac:dyDescent="0.3">
      <c r="A44" s="16" t="s">
        <v>50</v>
      </c>
      <c r="B44" s="8" t="s">
        <v>8</v>
      </c>
      <c r="C44" s="40" t="s">
        <v>10</v>
      </c>
      <c r="D44" s="16"/>
      <c r="E44" s="8"/>
      <c r="F44" s="59"/>
    </row>
    <row r="45" spans="1:6" x14ac:dyDescent="0.3">
      <c r="A45" s="16" t="s">
        <v>50</v>
      </c>
      <c r="B45" s="8" t="s">
        <v>8</v>
      </c>
      <c r="C45" s="40" t="s">
        <v>10</v>
      </c>
      <c r="D45" s="16"/>
      <c r="E45" s="8"/>
      <c r="F45" s="59"/>
    </row>
    <row r="46" spans="1:6" x14ac:dyDescent="0.3">
      <c r="A46" s="16" t="s">
        <v>50</v>
      </c>
      <c r="B46" s="8" t="s">
        <v>20</v>
      </c>
      <c r="C46" s="40" t="s">
        <v>10</v>
      </c>
      <c r="D46" s="16"/>
      <c r="E46" s="8"/>
      <c r="F46" s="59"/>
    </row>
    <row r="47" spans="1:6" x14ac:dyDescent="0.3">
      <c r="A47" s="16" t="s">
        <v>50</v>
      </c>
      <c r="B47" s="8" t="s">
        <v>14</v>
      </c>
      <c r="C47" s="40" t="s">
        <v>10</v>
      </c>
      <c r="D47" s="16"/>
      <c r="E47" s="8"/>
      <c r="F47" s="59"/>
    </row>
    <row r="48" spans="1:6" x14ac:dyDescent="0.3">
      <c r="A48" s="16" t="s">
        <v>50</v>
      </c>
      <c r="B48" s="8" t="s">
        <v>18</v>
      </c>
      <c r="C48" s="40" t="s">
        <v>10</v>
      </c>
      <c r="D48" s="16"/>
      <c r="E48" s="8"/>
      <c r="F48" s="59"/>
    </row>
    <row r="49" spans="1:6" x14ac:dyDescent="0.3">
      <c r="A49" s="16" t="s">
        <v>51</v>
      </c>
      <c r="B49" s="8" t="s">
        <v>8</v>
      </c>
      <c r="C49" s="9" t="s">
        <v>80</v>
      </c>
      <c r="D49" s="16"/>
      <c r="E49" s="8"/>
      <c r="F49" s="59"/>
    </row>
    <row r="50" spans="1:6" x14ac:dyDescent="0.3">
      <c r="A50" s="16" t="s">
        <v>51</v>
      </c>
      <c r="B50" s="8" t="s">
        <v>8</v>
      </c>
      <c r="C50" s="9" t="s">
        <v>80</v>
      </c>
      <c r="D50" s="16"/>
      <c r="E50" s="8"/>
      <c r="F50" s="59"/>
    </row>
    <row r="51" spans="1:6" x14ac:dyDescent="0.3">
      <c r="A51" s="16" t="s">
        <v>51</v>
      </c>
      <c r="B51" s="8" t="s">
        <v>8</v>
      </c>
      <c r="C51" s="9" t="s">
        <v>80</v>
      </c>
      <c r="D51" s="16"/>
      <c r="E51" s="8"/>
      <c r="F51" s="59"/>
    </row>
    <row r="52" spans="1:6" ht="15" thickBot="1" x14ac:dyDescent="0.35">
      <c r="A52" s="14" t="s">
        <v>51</v>
      </c>
      <c r="B52" s="15" t="s">
        <v>14</v>
      </c>
      <c r="C52" s="43" t="s">
        <v>10</v>
      </c>
      <c r="D52" s="14"/>
      <c r="E52" s="15"/>
      <c r="F52" s="61"/>
    </row>
    <row r="53" spans="1:6" x14ac:dyDescent="0.3">
      <c r="A53" s="12" t="s">
        <v>53</v>
      </c>
      <c r="B53" s="13" t="s">
        <v>25</v>
      </c>
      <c r="C53" s="42" t="s">
        <v>10</v>
      </c>
      <c r="D53" s="12"/>
      <c r="E53" s="13"/>
      <c r="F53" s="60"/>
    </row>
    <row r="54" spans="1:6" ht="15" thickBot="1" x14ac:dyDescent="0.35">
      <c r="A54" s="14" t="s">
        <v>53</v>
      </c>
      <c r="B54" s="15" t="s">
        <v>24</v>
      </c>
      <c r="C54" s="43" t="s">
        <v>10</v>
      </c>
      <c r="D54" s="14"/>
      <c r="E54" s="15"/>
      <c r="F54" s="61"/>
    </row>
    <row r="55" spans="1:6" x14ac:dyDescent="0.3">
      <c r="A55" s="12" t="s">
        <v>26</v>
      </c>
      <c r="B55" s="13" t="s">
        <v>23</v>
      </c>
      <c r="C55" s="42" t="s">
        <v>10</v>
      </c>
      <c r="D55" s="12"/>
      <c r="E55" s="13"/>
      <c r="F55" s="60"/>
    </row>
    <row r="56" spans="1:6" x14ac:dyDescent="0.3">
      <c r="A56" s="20" t="s">
        <v>26</v>
      </c>
      <c r="B56" s="11" t="s">
        <v>79</v>
      </c>
      <c r="C56" s="39" t="s">
        <v>10</v>
      </c>
      <c r="D56" s="20"/>
      <c r="E56" s="11"/>
      <c r="F56" s="58"/>
    </row>
    <row r="57" spans="1:6" ht="15" thickBot="1" x14ac:dyDescent="0.35">
      <c r="A57" s="14" t="s">
        <v>26</v>
      </c>
      <c r="B57" s="15" t="s">
        <v>27</v>
      </c>
      <c r="C57" s="43" t="s">
        <v>10</v>
      </c>
      <c r="D57" s="14"/>
      <c r="E57" s="15"/>
      <c r="F57" s="61"/>
    </row>
    <row r="58" spans="1:6" x14ac:dyDescent="0.3">
      <c r="A58" s="12" t="s">
        <v>43</v>
      </c>
      <c r="B58" s="13" t="s">
        <v>6</v>
      </c>
      <c r="C58" s="42" t="s">
        <v>10</v>
      </c>
      <c r="D58" s="12"/>
      <c r="E58" s="13"/>
      <c r="F58" s="60"/>
    </row>
    <row r="59" spans="1:6" x14ac:dyDescent="0.3">
      <c r="A59" s="16" t="s">
        <v>43</v>
      </c>
      <c r="B59" s="8" t="s">
        <v>6</v>
      </c>
      <c r="C59" s="40" t="s">
        <v>10</v>
      </c>
      <c r="D59" s="16"/>
      <c r="E59" s="8"/>
      <c r="F59" s="59"/>
    </row>
    <row r="60" spans="1:6" x14ac:dyDescent="0.3">
      <c r="A60" s="16" t="s">
        <v>43</v>
      </c>
      <c r="B60" s="8" t="s">
        <v>6</v>
      </c>
      <c r="C60" s="40" t="s">
        <v>10</v>
      </c>
      <c r="D60" s="16"/>
      <c r="E60" s="8"/>
      <c r="F60" s="59"/>
    </row>
    <row r="61" spans="1:6" ht="15" thickBot="1" x14ac:dyDescent="0.35">
      <c r="A61" s="21" t="s">
        <v>43</v>
      </c>
      <c r="B61" s="19" t="s">
        <v>15</v>
      </c>
      <c r="C61" s="50" t="s">
        <v>10</v>
      </c>
      <c r="D61" s="21"/>
      <c r="E61" s="19"/>
      <c r="F61" s="62"/>
    </row>
    <row r="62" spans="1:6" x14ac:dyDescent="0.3">
      <c r="A62" s="24" t="s">
        <v>65</v>
      </c>
      <c r="B62" s="25" t="s">
        <v>64</v>
      </c>
      <c r="C62" s="51" t="s">
        <v>10</v>
      </c>
      <c r="D62" s="64"/>
      <c r="E62" s="26"/>
      <c r="F62" s="27"/>
    </row>
    <row r="63" spans="1:6" ht="15" thickBot="1" x14ac:dyDescent="0.35">
      <c r="A63" s="28" t="s">
        <v>65</v>
      </c>
      <c r="B63" s="29" t="s">
        <v>73</v>
      </c>
      <c r="C63" s="52" t="s">
        <v>10</v>
      </c>
      <c r="D63" s="65"/>
      <c r="E63" s="30"/>
      <c r="F63" s="31"/>
    </row>
    <row r="64" spans="1:6" x14ac:dyDescent="0.3">
      <c r="A64" s="24" t="s">
        <v>66</v>
      </c>
      <c r="B64" s="25" t="s">
        <v>6</v>
      </c>
      <c r="C64" s="51" t="s">
        <v>10</v>
      </c>
      <c r="D64" s="64"/>
      <c r="E64" s="26"/>
      <c r="F64" s="27"/>
    </row>
    <row r="65" spans="1:6" x14ac:dyDescent="0.3">
      <c r="A65" s="32" t="s">
        <v>66</v>
      </c>
      <c r="B65" s="22" t="s">
        <v>6</v>
      </c>
      <c r="C65" s="53" t="s">
        <v>10</v>
      </c>
      <c r="D65" s="66"/>
      <c r="E65" s="23"/>
      <c r="F65" s="33"/>
    </row>
    <row r="66" spans="1:6" x14ac:dyDescent="0.3">
      <c r="A66" s="32" t="s">
        <v>66</v>
      </c>
      <c r="B66" s="22" t="s">
        <v>6</v>
      </c>
      <c r="C66" s="53" t="s">
        <v>10</v>
      </c>
      <c r="D66" s="66"/>
      <c r="E66" s="23"/>
      <c r="F66" s="33"/>
    </row>
    <row r="67" spans="1:6" x14ac:dyDescent="0.3">
      <c r="A67" s="32" t="s">
        <v>66</v>
      </c>
      <c r="B67" s="22" t="s">
        <v>27</v>
      </c>
      <c r="C67" s="53" t="s">
        <v>10</v>
      </c>
      <c r="D67" s="66"/>
      <c r="E67" s="23"/>
      <c r="F67" s="33"/>
    </row>
    <row r="68" spans="1:6" x14ac:dyDescent="0.3">
      <c r="A68" s="32" t="s">
        <v>66</v>
      </c>
      <c r="B68" s="22" t="s">
        <v>20</v>
      </c>
      <c r="C68" s="53" t="s">
        <v>10</v>
      </c>
      <c r="D68" s="66"/>
      <c r="E68" s="23"/>
      <c r="F68" s="33"/>
    </row>
    <row r="69" spans="1:6" x14ac:dyDescent="0.3">
      <c r="A69" s="32" t="s">
        <v>66</v>
      </c>
      <c r="B69" s="22" t="s">
        <v>14</v>
      </c>
      <c r="C69" s="53" t="s">
        <v>10</v>
      </c>
      <c r="D69" s="66"/>
      <c r="E69" s="23"/>
      <c r="F69" s="33"/>
    </row>
    <row r="70" spans="1:6" ht="15" thickBot="1" x14ac:dyDescent="0.35">
      <c r="A70" s="28" t="s">
        <v>66</v>
      </c>
      <c r="B70" s="29" t="s">
        <v>18</v>
      </c>
      <c r="C70" s="52" t="s">
        <v>10</v>
      </c>
      <c r="D70" s="65"/>
      <c r="E70" s="30"/>
      <c r="F70" s="31"/>
    </row>
    <row r="71" spans="1:6" x14ac:dyDescent="0.3">
      <c r="A71" s="24" t="s">
        <v>67</v>
      </c>
      <c r="B71" s="25" t="s">
        <v>6</v>
      </c>
      <c r="C71" s="51" t="s">
        <v>10</v>
      </c>
      <c r="D71" s="64"/>
      <c r="E71" s="26"/>
      <c r="F71" s="27"/>
    </row>
    <row r="72" spans="1:6" x14ac:dyDescent="0.3">
      <c r="A72" s="32" t="s">
        <v>67</v>
      </c>
      <c r="B72" s="22" t="s">
        <v>6</v>
      </c>
      <c r="C72" s="53" t="s">
        <v>10</v>
      </c>
      <c r="D72" s="66"/>
      <c r="E72" s="23"/>
      <c r="F72" s="33"/>
    </row>
    <row r="73" spans="1:6" x14ac:dyDescent="0.3">
      <c r="A73" s="32" t="s">
        <v>67</v>
      </c>
      <c r="B73" s="22" t="s">
        <v>6</v>
      </c>
      <c r="C73" s="53" t="s">
        <v>10</v>
      </c>
      <c r="D73" s="66"/>
      <c r="E73" s="23"/>
      <c r="F73" s="33"/>
    </row>
    <row r="74" spans="1:6" ht="15" thickBot="1" x14ac:dyDescent="0.35">
      <c r="A74" s="34" t="s">
        <v>67</v>
      </c>
      <c r="B74" s="35" t="s">
        <v>15</v>
      </c>
      <c r="C74" s="54" t="s">
        <v>10</v>
      </c>
      <c r="D74" s="67"/>
      <c r="E74" s="36"/>
      <c r="F74" s="37"/>
    </row>
    <row r="75" spans="1:6" x14ac:dyDescent="0.3">
      <c r="A75" s="24" t="s">
        <v>68</v>
      </c>
      <c r="B75" s="25" t="s">
        <v>27</v>
      </c>
      <c r="C75" s="51" t="s">
        <v>10</v>
      </c>
      <c r="D75" s="64"/>
      <c r="E75" s="26"/>
      <c r="F75" s="27"/>
    </row>
    <row r="76" spans="1:6" x14ac:dyDescent="0.3">
      <c r="A76" s="32" t="s">
        <v>68</v>
      </c>
      <c r="B76" s="22" t="s">
        <v>20</v>
      </c>
      <c r="C76" s="53" t="s">
        <v>10</v>
      </c>
      <c r="D76" s="66"/>
      <c r="E76" s="23"/>
      <c r="F76" s="33"/>
    </row>
    <row r="77" spans="1:6" x14ac:dyDescent="0.3">
      <c r="A77" s="32" t="s">
        <v>68</v>
      </c>
      <c r="B77" s="22" t="s">
        <v>14</v>
      </c>
      <c r="C77" s="53" t="s">
        <v>10</v>
      </c>
      <c r="D77" s="66"/>
      <c r="E77" s="23"/>
      <c r="F77" s="33"/>
    </row>
    <row r="78" spans="1:6" ht="15" thickBot="1" x14ac:dyDescent="0.35">
      <c r="A78" s="28" t="s">
        <v>68</v>
      </c>
      <c r="B78" s="29" t="s">
        <v>18</v>
      </c>
      <c r="C78" s="52" t="s">
        <v>10</v>
      </c>
      <c r="D78" s="65"/>
      <c r="E78" s="30"/>
      <c r="F78" s="31"/>
    </row>
    <row r="79" spans="1:6" x14ac:dyDescent="0.3">
      <c r="A79" s="24" t="s">
        <v>69</v>
      </c>
      <c r="B79" s="25" t="s">
        <v>15</v>
      </c>
      <c r="C79" s="51" t="s">
        <v>10</v>
      </c>
      <c r="D79" s="64"/>
      <c r="E79" s="26"/>
      <c r="F79" s="27"/>
    </row>
    <row r="80" spans="1:6" x14ac:dyDescent="0.3">
      <c r="A80" s="32" t="s">
        <v>69</v>
      </c>
      <c r="B80" s="22" t="s">
        <v>6</v>
      </c>
      <c r="C80" s="53" t="s">
        <v>10</v>
      </c>
      <c r="D80" s="66"/>
      <c r="E80" s="23"/>
      <c r="F80" s="33"/>
    </row>
    <row r="81" spans="1:6" x14ac:dyDescent="0.3">
      <c r="A81" s="32" t="s">
        <v>69</v>
      </c>
      <c r="B81" s="22" t="s">
        <v>6</v>
      </c>
      <c r="C81" s="53" t="s">
        <v>10</v>
      </c>
      <c r="D81" s="66"/>
      <c r="E81" s="23"/>
      <c r="F81" s="33"/>
    </row>
    <row r="82" spans="1:6" ht="15" thickBot="1" x14ac:dyDescent="0.35">
      <c r="A82" s="28" t="s">
        <v>69</v>
      </c>
      <c r="B82" s="29" t="s">
        <v>6</v>
      </c>
      <c r="C82" s="52" t="s">
        <v>10</v>
      </c>
      <c r="D82" s="65"/>
      <c r="E82" s="30"/>
      <c r="F82" s="31"/>
    </row>
    <row r="83" spans="1:6" x14ac:dyDescent="0.3">
      <c r="A83" s="24" t="s">
        <v>70</v>
      </c>
      <c r="B83" s="25" t="s">
        <v>15</v>
      </c>
      <c r="C83" s="51" t="s">
        <v>10</v>
      </c>
      <c r="D83" s="64"/>
      <c r="E83" s="26"/>
      <c r="F83" s="27"/>
    </row>
    <row r="84" spans="1:6" x14ac:dyDescent="0.3">
      <c r="A84" s="32" t="s">
        <v>70</v>
      </c>
      <c r="B84" s="22" t="s">
        <v>6</v>
      </c>
      <c r="C84" s="53" t="s">
        <v>10</v>
      </c>
      <c r="D84" s="66"/>
      <c r="E84" s="23"/>
      <c r="F84" s="33"/>
    </row>
    <row r="85" spans="1:6" x14ac:dyDescent="0.3">
      <c r="A85" s="32" t="s">
        <v>70</v>
      </c>
      <c r="B85" s="22" t="s">
        <v>6</v>
      </c>
      <c r="C85" s="53" t="s">
        <v>10</v>
      </c>
      <c r="D85" s="66"/>
      <c r="E85" s="23"/>
      <c r="F85" s="33"/>
    </row>
    <row r="86" spans="1:6" x14ac:dyDescent="0.3">
      <c r="A86" s="32" t="s">
        <v>70</v>
      </c>
      <c r="B86" s="22" t="s">
        <v>6</v>
      </c>
      <c r="C86" s="53" t="s">
        <v>10</v>
      </c>
      <c r="D86" s="66"/>
      <c r="E86" s="23"/>
      <c r="F86" s="33"/>
    </row>
    <row r="87" spans="1:6" x14ac:dyDescent="0.3">
      <c r="A87" s="32" t="s">
        <v>70</v>
      </c>
      <c r="B87" s="22" t="s">
        <v>27</v>
      </c>
      <c r="C87" s="53" t="s">
        <v>10</v>
      </c>
      <c r="D87" s="66"/>
      <c r="E87" s="23"/>
      <c r="F87" s="33"/>
    </row>
    <row r="88" spans="1:6" x14ac:dyDescent="0.3">
      <c r="A88" s="32" t="s">
        <v>70</v>
      </c>
      <c r="B88" s="22" t="s">
        <v>20</v>
      </c>
      <c r="C88" s="53" t="s">
        <v>10</v>
      </c>
      <c r="D88" s="66"/>
      <c r="E88" s="23"/>
      <c r="F88" s="33"/>
    </row>
    <row r="89" spans="1:6" x14ac:dyDescent="0.3">
      <c r="A89" s="32" t="s">
        <v>70</v>
      </c>
      <c r="B89" s="22" t="s">
        <v>14</v>
      </c>
      <c r="C89" s="53" t="s">
        <v>10</v>
      </c>
      <c r="D89" s="66"/>
      <c r="E89" s="23"/>
      <c r="F89" s="33"/>
    </row>
    <row r="90" spans="1:6" ht="15" thickBot="1" x14ac:dyDescent="0.35">
      <c r="A90" s="28" t="s">
        <v>70</v>
      </c>
      <c r="B90" s="29" t="s">
        <v>18</v>
      </c>
      <c r="C90" s="52" t="s">
        <v>10</v>
      </c>
      <c r="D90" s="65"/>
      <c r="E90" s="30"/>
      <c r="F90" s="31"/>
    </row>
    <row r="91" spans="1:6" x14ac:dyDescent="0.3">
      <c r="A91" s="24" t="s">
        <v>71</v>
      </c>
      <c r="B91" s="25" t="s">
        <v>15</v>
      </c>
      <c r="C91" s="51" t="s">
        <v>10</v>
      </c>
      <c r="D91" s="64"/>
      <c r="E91" s="26"/>
      <c r="F91" s="27"/>
    </row>
    <row r="92" spans="1:6" x14ac:dyDescent="0.3">
      <c r="A92" s="32" t="s">
        <v>71</v>
      </c>
      <c r="B92" s="22" t="s">
        <v>6</v>
      </c>
      <c r="C92" s="53" t="s">
        <v>10</v>
      </c>
      <c r="D92" s="66"/>
      <c r="E92" s="23"/>
      <c r="F92" s="33"/>
    </row>
    <row r="93" spans="1:6" x14ac:dyDescent="0.3">
      <c r="A93" s="32" t="s">
        <v>71</v>
      </c>
      <c r="B93" s="22" t="s">
        <v>6</v>
      </c>
      <c r="C93" s="53" t="s">
        <v>10</v>
      </c>
      <c r="D93" s="66"/>
      <c r="E93" s="23"/>
      <c r="F93" s="33"/>
    </row>
    <row r="94" spans="1:6" ht="15" thickBot="1" x14ac:dyDescent="0.35">
      <c r="A94" s="28" t="s">
        <v>71</v>
      </c>
      <c r="B94" s="29" t="s">
        <v>6</v>
      </c>
      <c r="C94" s="52" t="s">
        <v>10</v>
      </c>
      <c r="D94" s="65"/>
      <c r="E94" s="30"/>
      <c r="F94" s="31"/>
    </row>
    <row r="95" spans="1:6" x14ac:dyDescent="0.3">
      <c r="A95" s="24" t="s">
        <v>72</v>
      </c>
      <c r="B95" s="25" t="s">
        <v>15</v>
      </c>
      <c r="C95" s="51" t="s">
        <v>10</v>
      </c>
      <c r="D95" s="64"/>
      <c r="E95" s="26"/>
      <c r="F95" s="27"/>
    </row>
    <row r="96" spans="1:6" x14ac:dyDescent="0.3">
      <c r="A96" s="32" t="s">
        <v>72</v>
      </c>
      <c r="B96" s="22" t="s">
        <v>6</v>
      </c>
      <c r="C96" s="53" t="s">
        <v>10</v>
      </c>
      <c r="D96" s="66"/>
      <c r="E96" s="23"/>
      <c r="F96" s="33"/>
    </row>
    <row r="97" spans="1:6" x14ac:dyDescent="0.3">
      <c r="A97" s="32" t="s">
        <v>72</v>
      </c>
      <c r="B97" s="22" t="s">
        <v>6</v>
      </c>
      <c r="C97" s="53" t="s">
        <v>10</v>
      </c>
      <c r="D97" s="66"/>
      <c r="E97" s="23"/>
      <c r="F97" s="33"/>
    </row>
    <row r="98" spans="1:6" x14ac:dyDescent="0.3">
      <c r="A98" s="32" t="s">
        <v>72</v>
      </c>
      <c r="B98" s="22" t="s">
        <v>6</v>
      </c>
      <c r="C98" s="53" t="s">
        <v>10</v>
      </c>
      <c r="D98" s="66"/>
      <c r="E98" s="23"/>
      <c r="F98" s="33"/>
    </row>
    <row r="99" spans="1:6" x14ac:dyDescent="0.3">
      <c r="A99" s="32" t="s">
        <v>72</v>
      </c>
      <c r="B99" s="22" t="s">
        <v>6</v>
      </c>
      <c r="C99" s="53" t="s">
        <v>10</v>
      </c>
      <c r="D99" s="66"/>
      <c r="E99" s="23"/>
      <c r="F99" s="33"/>
    </row>
    <row r="100" spans="1:6" x14ac:dyDescent="0.3">
      <c r="A100" s="32" t="s">
        <v>72</v>
      </c>
      <c r="B100" s="22" t="s">
        <v>6</v>
      </c>
      <c r="C100" s="53" t="s">
        <v>10</v>
      </c>
      <c r="D100" s="66"/>
      <c r="E100" s="23"/>
      <c r="F100" s="33"/>
    </row>
    <row r="101" spans="1:6" x14ac:dyDescent="0.3">
      <c r="A101" s="32" t="s">
        <v>72</v>
      </c>
      <c r="B101" s="22" t="s">
        <v>6</v>
      </c>
      <c r="C101" s="53" t="s">
        <v>10</v>
      </c>
      <c r="D101" s="66"/>
      <c r="E101" s="23"/>
      <c r="F101" s="33"/>
    </row>
    <row r="102" spans="1:6" ht="15" thickBot="1" x14ac:dyDescent="0.35">
      <c r="A102" s="28" t="s">
        <v>72</v>
      </c>
      <c r="B102" s="29" t="s">
        <v>27</v>
      </c>
      <c r="C102" s="52" t="s">
        <v>10</v>
      </c>
      <c r="D102" s="65"/>
      <c r="E102" s="30"/>
      <c r="F102" s="31"/>
    </row>
    <row r="103" spans="1:6" x14ac:dyDescent="0.3">
      <c r="A103" s="24" t="s">
        <v>74</v>
      </c>
      <c r="B103" s="25" t="s">
        <v>27</v>
      </c>
      <c r="C103" s="51" t="s">
        <v>10</v>
      </c>
      <c r="D103" s="64"/>
      <c r="E103" s="26"/>
      <c r="F103" s="27"/>
    </row>
    <row r="104" spans="1:6" x14ac:dyDescent="0.3">
      <c r="A104" s="32" t="s">
        <v>74</v>
      </c>
      <c r="B104" s="22" t="s">
        <v>20</v>
      </c>
      <c r="C104" s="53" t="s">
        <v>10</v>
      </c>
      <c r="D104" s="66"/>
      <c r="E104" s="23"/>
      <c r="F104" s="33"/>
    </row>
    <row r="105" spans="1:6" x14ac:dyDescent="0.3">
      <c r="A105" s="32" t="s">
        <v>74</v>
      </c>
      <c r="B105" s="22" t="s">
        <v>14</v>
      </c>
      <c r="C105" s="53" t="s">
        <v>10</v>
      </c>
      <c r="D105" s="66"/>
      <c r="E105" s="23"/>
      <c r="F105" s="33"/>
    </row>
    <row r="106" spans="1:6" ht="15" thickBot="1" x14ac:dyDescent="0.35">
      <c r="A106" s="68" t="s">
        <v>74</v>
      </c>
      <c r="B106" s="35" t="s">
        <v>18</v>
      </c>
      <c r="C106" s="54" t="s">
        <v>10</v>
      </c>
      <c r="D106" s="67"/>
      <c r="E106" s="36"/>
      <c r="F106" s="37"/>
    </row>
    <row r="107" spans="1:6" x14ac:dyDescent="0.3">
      <c r="A107" s="72" t="s">
        <v>78</v>
      </c>
      <c r="B107" s="73" t="s">
        <v>6</v>
      </c>
      <c r="C107" s="74" t="s">
        <v>10</v>
      </c>
      <c r="D107" s="69"/>
      <c r="E107" s="26"/>
      <c r="F107" s="27"/>
    </row>
    <row r="108" spans="1:6" x14ac:dyDescent="0.3">
      <c r="A108" s="75" t="s">
        <v>78</v>
      </c>
      <c r="B108" s="76" t="s">
        <v>6</v>
      </c>
      <c r="C108" s="77" t="s">
        <v>10</v>
      </c>
      <c r="D108" s="70"/>
      <c r="E108" s="23"/>
      <c r="F108" s="33"/>
    </row>
    <row r="109" spans="1:6" ht="15" thickBot="1" x14ac:dyDescent="0.35">
      <c r="A109" s="78" t="s">
        <v>78</v>
      </c>
      <c r="B109" s="79" t="s">
        <v>6</v>
      </c>
      <c r="C109" s="80" t="s">
        <v>10</v>
      </c>
      <c r="D109" s="71"/>
      <c r="E109" s="30"/>
      <c r="F109" s="31"/>
    </row>
  </sheetData>
  <autoFilter ref="A1:F106" xr:uid="{F6E22170-2BC6-4004-8E87-192D4A379E0A}"/>
  <mergeCells count="4">
    <mergeCell ref="A21:A22"/>
    <mergeCell ref="A25:A27"/>
    <mergeCell ref="A23:A24"/>
    <mergeCell ref="A28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49F3-F1B6-416D-94FF-FA76DB6B295B}">
  <dimension ref="B1:G6"/>
  <sheetViews>
    <sheetView workbookViewId="0"/>
  </sheetViews>
  <sheetFormatPr baseColWidth="10" defaultColWidth="8.88671875" defaultRowHeight="14.4" x14ac:dyDescent="0.3"/>
  <cols>
    <col min="1" max="1" width="8.88671875" style="1" customWidth="1"/>
    <col min="2" max="2" width="24.88671875" style="1" bestFit="1" customWidth="1"/>
    <col min="3" max="3" width="12.88671875" style="2" customWidth="1"/>
    <col min="4" max="4" width="10.21875" style="1" bestFit="1" customWidth="1"/>
    <col min="5" max="5" width="13.33203125" style="1" customWidth="1"/>
    <col min="6" max="6" width="24" style="1" customWidth="1"/>
    <col min="7" max="7" width="15.44140625" style="1" customWidth="1"/>
    <col min="8" max="8" width="8.88671875" style="1" customWidth="1"/>
    <col min="9" max="16384" width="8.88671875" style="1"/>
  </cols>
  <sheetData>
    <row r="1" spans="2:7" x14ac:dyDescent="0.3">
      <c r="E1" s="2"/>
      <c r="G1" s="2"/>
    </row>
    <row r="2" spans="2:7" x14ac:dyDescent="0.3">
      <c r="E2" s="2"/>
      <c r="G2" s="2"/>
    </row>
    <row r="3" spans="2:7" s="2" customFormat="1" x14ac:dyDescent="0.3">
      <c r="B3" s="3" t="s">
        <v>7</v>
      </c>
      <c r="C3" s="2" t="e">
        <f>COUNTIF(#REF!,"Clôturé")+COUNTIF(#REF!,"Clôturé")+COUNTIF(#REF!,"Clôturé")+COUNTIF(#REF!,"Clôturé")</f>
        <v>#REF!</v>
      </c>
    </row>
    <row r="4" spans="2:7" x14ac:dyDescent="0.3">
      <c r="B4" s="4" t="s">
        <v>9</v>
      </c>
      <c r="C4" s="2" t="e">
        <f>COUNTIF(#REF!,"En préavis")+COUNTIF(#REF!,"En préavis")+COUNTIF(#REF!,"En préavis")+COUNTIF(#REF!,"En préavis")</f>
        <v>#REF!</v>
      </c>
      <c r="E4" s="2"/>
      <c r="G4" s="2"/>
    </row>
    <row r="5" spans="2:7" x14ac:dyDescent="0.3">
      <c r="B5" s="5" t="s">
        <v>10</v>
      </c>
      <c r="C5" s="2" t="e">
        <f>COUNTIF(#REF!,"En cours de recrutement")+COUNTIF(#REF!,"En cours de recrutement")+COUNTIF(#REF!,"En cours de recrutement")+COUNTIF(#REF!,"En cours de recrutement")</f>
        <v>#REF!</v>
      </c>
      <c r="E5" s="2"/>
      <c r="G5" s="2"/>
    </row>
    <row r="6" spans="2:7" x14ac:dyDescent="0.3">
      <c r="B6" s="6" t="s">
        <v>16</v>
      </c>
      <c r="C6" s="2" t="e">
        <f>COUNTIF(#REF!,"Désistement")+COUNTIF(#REF!,"Désistement")+COUNTIF(#REF!,"Désistement")+COUNTIF(#REF!,"Désistement")</f>
        <v>#REF!</v>
      </c>
      <c r="E6" s="2"/>
      <c r="G6" s="2"/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Safaa GAMRA</dc:creator>
  <dc:description/>
  <cp:lastModifiedBy>Safaa GAMRA</cp:lastModifiedBy>
  <dcterms:created xsi:type="dcterms:W3CDTF">2026-04-08T16:24:57Z</dcterms:created>
  <dcterms:modified xsi:type="dcterms:W3CDTF">2026-06-04T15:43:34Z</dcterms:modified>
</cp:coreProperties>
</file>